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ool Matrix" sheetId="2" state="visible" r:id="rId2"/>
    <sheet name="Scoring" sheetId="3" state="visible" r:id="rId3"/>
    <sheet name="Evidence Sources" sheetId="4" state="visible" r:id="rId4"/>
    <sheet name="Exclusions Caveats" sheetId="5" state="visible" r:id="rId5"/>
    <sheet name="Methodolog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SummaryTable" displayName="SummaryTable" ref="A3:D10" headerRowCount="1">
  <autoFilter ref="A3:D10"/>
  <tableColumns count="4">
    <tableColumn id="1" name="Recommendation"/>
    <tableColumn id="2" name="Tool family"/>
    <tableColumn id="3" name="Why it matters"/>
    <tableColumn id="4" name="Key caveat"/>
  </tableColumns>
  <tableStyleInfo name="TableStyleMedium2" showFirstColumn="0" showLastColumn="0" showRowStripes="1" showColumnStripes="0"/>
</table>
</file>

<file path=xl/tables/table2.xml><?xml version="1.0" encoding="utf-8"?>
<table xmlns="http://schemas.openxmlformats.org/spreadsheetml/2006/main" id="2" name="ToolMatrix" displayName="ToolMatrix" ref="A1:S16" headerRowCount="1">
  <autoFilter ref="A1:S16"/>
  <tableColumns count="19">
    <tableColumn id="1" name="Tool family"/>
    <tableColumn id="2" name="Category"/>
    <tableColumn id="3" name="Recommended use"/>
    <tableColumn id="4" name="Evaluation posture"/>
    <tableColumn id="5" name="Deployment posture"/>
    <tableColumn id="6" name="RAG metrics"/>
    <tableColumn id="7" name="CI/regression"/>
    <tableColumn id="8" name="Datasets/testsets"/>
    <tableColumn id="9" name="Tracing/feedback"/>
    <tableColumn id="10" name="Integration fit"/>
    <tableColumn id="11" name="Data control"/>
    <tableColumn id="12" name="Governance"/>
    <tableColumn id="13" name="Evidence maturity"/>
    <tableColumn id="14" name="Evaluation Fit Score"/>
    <tableColumn id="15" name="Operational Fit Score"/>
    <tableColumn id="16" name="Overall Score"/>
    <tableColumn id="17" name="Recommendation Tier"/>
    <tableColumn id="18" name="Key caveat"/>
    <tableColumn id="19" name="Primary source IDs"/>
  </tableColumns>
  <tableStyleInfo name="TableStyleMedium2" showFirstColumn="0" showLastColumn="0" showRowStripes="1" showColumnStripes="0"/>
</table>
</file>

<file path=xl/tables/table3.xml><?xml version="1.0" encoding="utf-8"?>
<table xmlns="http://schemas.openxmlformats.org/spreadsheetml/2006/main" id="3" name="WeightsTable" displayName="WeightsTable" ref="A1:D9" headerRowCount="1">
  <autoFilter ref="A1:D9"/>
  <tableColumns count="4">
    <tableColumn id="1" name="Criterion"/>
    <tableColumn id="2" name="Weight"/>
    <tableColumn id="3" name="Layer"/>
    <tableColumn id="4" name="Notes"/>
  </tableColumns>
  <tableStyleInfo name="TableStyleMedium2" showFirstColumn="0" showLastColumn="0" showRowStripes="1" showColumnStripes="0"/>
</table>
</file>

<file path=xl/tables/table4.xml><?xml version="1.0" encoding="utf-8"?>
<table xmlns="http://schemas.openxmlformats.org/spreadsheetml/2006/main" id="4" name="ScaleTable" displayName="ScaleTable" ref="A11:C17" headerRowCount="1">
  <autoFilter ref="A11:C17"/>
  <tableColumns count="3">
    <tableColumn id="1" name="Scoring scale"/>
    <tableColumn id="2" name="Meaning"/>
    <tableColumn id="3" name="Use"/>
  </tableColumns>
  <tableStyleInfo name="TableStyleMedium2" showFirstColumn="0" showLastColumn="0" showRowStripes="1" showColumnStripes="0"/>
</table>
</file>

<file path=xl/tables/table5.xml><?xml version="1.0" encoding="utf-8"?>
<table xmlns="http://schemas.openxmlformats.org/spreadsheetml/2006/main" id="5" name="EvidenceSources" displayName="EvidenceSources" ref="A1:E31" headerRowCount="1">
  <autoFilter ref="A1:E31"/>
  <tableColumns count="5">
    <tableColumn id="1" name="Source ID"/>
    <tableColumn id="2" name="Title"/>
    <tableColumn id="3" name="URL"/>
    <tableColumn id="4" name="Evidence note"/>
    <tableColumn id="5" name="Recorded at"/>
  </tableColumns>
  <tableStyleInfo name="TableStyleMedium2" showFirstColumn="0" showLastColumn="0" showRowStripes="1" showColumnStripes="0"/>
</table>
</file>

<file path=xl/tables/table6.xml><?xml version="1.0" encoding="utf-8"?>
<table xmlns="http://schemas.openxmlformats.org/spreadsheetml/2006/main" id="6" name="CaveatsTable" displayName="CaveatsTable" ref="A1:C7" headerRowCount="1">
  <autoFilter ref="A1:C7"/>
  <tableColumns count="3">
    <tableColumn id="1" name="Topic"/>
    <tableColumn id="2" name="Caveat"/>
    <tableColumn id="3" name="Decision impact"/>
  </tableColumns>
  <tableStyleInfo name="TableStyleMedium2" showFirstColumn="0" showLastColumn="0" showRowStripes="1" showColumnStripes="0"/>
</table>
</file>

<file path=xl/tables/table7.xml><?xml version="1.0" encoding="utf-8"?>
<table xmlns="http://schemas.openxmlformats.org/spreadsheetml/2006/main" id="7" name="MethodologyTable" displayName="MethodologyTable" ref="A1:B9" headerRowCount="1">
  <autoFilter ref="A1:B9"/>
  <tableColumns count="2">
    <tableColumn id="1" name="Item"/>
    <tableColumn id="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4.xml.rels><Relationships xmlns="http://schemas.openxmlformats.org/package/2006/relationships"><Relationship Type="http://schemas.openxmlformats.org/officeDocument/2006/relationships/table" Target="/xl/tables/table5.xml" Id="rId1" /></Relationships>
</file>

<file path=xl/worksheets/_rels/sheet5.xml.rels><Relationships xmlns="http://schemas.openxmlformats.org/package/2006/relationships"><Relationship Type="http://schemas.openxmlformats.org/officeDocument/2006/relationships/table" Target="/xl/tables/table6.xml" Id="rId1" /></Relationships>
</file>

<file path=xl/worksheets/_rels/sheet6.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78" customWidth="1" min="3" max="3"/>
    <col width="68" customWidth="1" min="4" max="4"/>
  </cols>
  <sheetData>
    <row r="1">
      <c r="A1" s="1" t="inlineStr">
        <is>
          <t>RAG Evaluation Tooling Matrix</t>
        </is>
      </c>
      <c r="B1" s="2" t="inlineStr">
        <is>
          <t>Generated</t>
        </is>
      </c>
      <c r="C1" t="inlineStr">
        <is>
          <t>2026-06-16</t>
        </is>
      </c>
    </row>
    <row r="3">
      <c r="A3" s="3" t="inlineStr">
        <is>
          <t>Recommendation</t>
        </is>
      </c>
      <c r="B3" s="3" t="inlineStr">
        <is>
          <t>Tool family</t>
        </is>
      </c>
      <c r="C3" s="3" t="inlineStr">
        <is>
          <t>Why it matters</t>
        </is>
      </c>
      <c r="D3" s="3" t="inlineStr">
        <is>
          <t>Key caveat</t>
        </is>
      </c>
    </row>
    <row r="4">
      <c r="A4" s="4" t="inlineStr">
        <is>
          <t>Adopt/shortlist</t>
        </is>
      </c>
      <c r="B4" s="4" t="inlineStr">
        <is>
          <t>LangSmith</t>
        </is>
      </c>
      <c r="C4" s="4" t="inlineStr">
        <is>
          <t>Best default shortlist item for LangChain-heavy teams that need datasets, experiment runs, traces, enterprise deployment options, and governance controls.</t>
        </is>
      </c>
      <c r="D4" s="4" t="inlineStr">
        <is>
          <t>Strongest fit when the application stack already uses LangChain or the team accepts a managed/commercial control plane.</t>
        </is>
      </c>
    </row>
    <row r="5">
      <c r="A5" s="4" t="inlineStr">
        <is>
          <t>Adopt/shortlist</t>
        </is>
      </c>
      <c r="B5" s="4" t="inlineStr">
        <is>
          <t>Langfuse</t>
        </is>
      </c>
      <c r="C5" s="4" t="inlineStr">
        <is>
          <t>Strong for trace-first RAG quality loops, production scoring, and teams that want self-hosting with documented RBAC and retention controls.</t>
        </is>
      </c>
      <c r="D5" s="4" t="inlineStr">
        <is>
          <t>Separate OSS/core features from edition-specific enterprise controls before procurement.</t>
        </is>
      </c>
    </row>
    <row r="6">
      <c r="A6" s="4" t="inlineStr">
        <is>
          <t>Adopt/shortlist</t>
        </is>
      </c>
      <c r="B6" s="4" t="inlineStr">
        <is>
          <t>W&amp;B Weave</t>
        </is>
      </c>
      <c r="C6" s="4" t="inlineStr">
        <is>
          <t>Strong for teams already using W&amp;B and wanting traced RAG steps, datasets, scorers, and evaluation UI in the same ecosystem.</t>
        </is>
      </c>
      <c r="D6" s="4" t="inlineStr">
        <is>
          <t>Self-managed Weave requires an enterprise W&amp;B Platform deployment, Kubernetes, ClickHouse, S3-compatible storage, and a Weave-enabled license.</t>
        </is>
      </c>
    </row>
    <row r="7">
      <c r="A7" s="4" t="inlineStr">
        <is>
          <t>Strong candidate</t>
        </is>
      </c>
      <c r="B7" s="4" t="inlineStr">
        <is>
          <t>Phoenix</t>
        </is>
      </c>
      <c r="C7" s="4" t="inlineStr">
        <is>
          <t>Strong for teams that want self-hosted tracing, RAG evaluation, datasets, and privacy controls around evaluation data.</t>
        </is>
      </c>
      <c r="D7" s="4" t="inlineStr">
        <is>
          <t>Managed enterprise controls should be verified separately from self-hosted Phoenix OSS capabilities.</t>
        </is>
      </c>
    </row>
    <row r="8">
      <c r="A8" s="4" t="inlineStr">
        <is>
          <t>Strong candidate</t>
        </is>
      </c>
      <c r="B8" s="4" t="inlineStr">
        <is>
          <t>MLflow GenAI</t>
        </is>
      </c>
      <c r="C8" s="4" t="inlineStr">
        <is>
          <t>Strong when the organization already standardizes on MLflow and wants GenAI evals, human feedback, tracing, and self-hosted lifecycle governance.</t>
        </is>
      </c>
      <c r="D8" s="4" t="inlineStr">
        <is>
          <t>RAG-specific ergonomics may be less focused than dedicated RAG eval libraries or observability platforms.</t>
        </is>
      </c>
    </row>
    <row r="9">
      <c r="A9" s="4" t="inlineStr">
        <is>
          <t>Strong candidate</t>
        </is>
      </c>
      <c r="B9" s="4" t="inlineStr">
        <is>
          <t>Opik</t>
        </is>
      </c>
      <c r="C9" s="4" t="inlineStr">
        <is>
          <t>Good for teams that want tracing, datasets, experiments, online evaluation, and CI hooks in one evaluation family.</t>
        </is>
      </c>
      <c r="D9" s="4" t="inlineStr">
        <is>
          <t>Public research here verified broad capabilities from the official repository; deeper enterprise controls need vendor-doc confirmation.</t>
        </is>
      </c>
    </row>
    <row r="10">
      <c r="A10" s="4" t="inlineStr">
        <is>
          <t>Strong candidate</t>
        </is>
      </c>
      <c r="B10" s="4" t="inlineStr">
        <is>
          <t>DeepEval / Confident AI</t>
        </is>
      </c>
      <c r="C10" s="4" t="inlineStr">
        <is>
          <t>Strong for CI/regression tests and unit-test-style LLM app evaluation, with team reporting and governance on the Confident AI platform side.</t>
        </is>
      </c>
      <c r="D10" s="4" t="inlineStr">
        <is>
          <t>Do not treat enterprise SSO/RBAC/audit/retention as features of the local OSS runner; they are platform-side controls.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70" customWidth="1" min="3" max="3"/>
    <col width="24" customWidth="1" min="4" max="4"/>
    <col width="42" customWidth="1" min="5" max="5"/>
    <col width="12" customWidth="1" min="6" max="6"/>
    <col width="14" customWidth="1" min="7" max="7"/>
    <col width="16" customWidth="1" min="8" max="8"/>
    <col width="16" customWidth="1" min="9" max="9"/>
    <col width="14" customWidth="1" min="10" max="10"/>
    <col width="13" customWidth="1" min="11" max="11"/>
    <col width="12" customWidth="1" min="12" max="12"/>
    <col width="16" customWidth="1" min="13" max="13"/>
    <col width="18" customWidth="1" min="14" max="14"/>
    <col width="18" customWidth="1" min="15" max="15"/>
    <col width="14" customWidth="1" min="16" max="16"/>
    <col width="20" customWidth="1" min="17" max="17"/>
    <col width="68" customWidth="1" min="18" max="18"/>
    <col width="24" customWidth="1" min="19" max="19"/>
  </cols>
  <sheetData>
    <row r="1">
      <c r="A1" s="3" t="inlineStr">
        <is>
          <t>Tool family</t>
        </is>
      </c>
      <c r="B1" s="3" t="inlineStr">
        <is>
          <t>Category</t>
        </is>
      </c>
      <c r="C1" s="3" t="inlineStr">
        <is>
          <t>Recommended use</t>
        </is>
      </c>
      <c r="D1" s="3" t="inlineStr">
        <is>
          <t>Evaluation posture</t>
        </is>
      </c>
      <c r="E1" s="3" t="inlineStr">
        <is>
          <t>Deployment posture</t>
        </is>
      </c>
      <c r="F1" s="3" t="inlineStr">
        <is>
          <t>RAG metrics</t>
        </is>
      </c>
      <c r="G1" s="3" t="inlineStr">
        <is>
          <t>CI/regression</t>
        </is>
      </c>
      <c r="H1" s="3" t="inlineStr">
        <is>
          <t>Datasets/testsets</t>
        </is>
      </c>
      <c r="I1" s="3" t="inlineStr">
        <is>
          <t>Tracing/feedback</t>
        </is>
      </c>
      <c r="J1" s="3" t="inlineStr">
        <is>
          <t>Integration fit</t>
        </is>
      </c>
      <c r="K1" s="3" t="inlineStr">
        <is>
          <t>Data control</t>
        </is>
      </c>
      <c r="L1" s="3" t="inlineStr">
        <is>
          <t>Governance</t>
        </is>
      </c>
      <c r="M1" s="3" t="inlineStr">
        <is>
          <t>Evidence maturity</t>
        </is>
      </c>
      <c r="N1" s="3" t="inlineStr">
        <is>
          <t>Evaluation Fit Score</t>
        </is>
      </c>
      <c r="O1" s="3" t="inlineStr">
        <is>
          <t>Operational Fit Score</t>
        </is>
      </c>
      <c r="P1" s="3" t="inlineStr">
        <is>
          <t>Overall Score</t>
        </is>
      </c>
      <c r="Q1" s="3" t="inlineStr">
        <is>
          <t>Recommendation Tier</t>
        </is>
      </c>
      <c r="R1" s="3" t="inlineStr">
        <is>
          <t>Key caveat</t>
        </is>
      </c>
      <c r="S1" s="3" t="inlineStr">
        <is>
          <t>Primary source IDs</t>
        </is>
      </c>
    </row>
    <row r="2">
      <c r="A2" s="4" t="inlineStr">
        <is>
          <t>LangSmith</t>
        </is>
      </c>
      <c r="B2" s="4" t="inlineStr">
        <is>
          <t>Managed evaluation and observability platform</t>
        </is>
      </c>
      <c r="C2" s="4" t="inlineStr">
        <is>
          <t>Best default shortlist item for LangChain-heavy teams that need datasets, experiment runs, traces, enterprise deployment options, and governance controls.</t>
        </is>
      </c>
      <c r="D2" s="4" t="inlineStr">
        <is>
          <t>Strong managed workflow</t>
        </is>
      </c>
      <c r="E2" s="4" t="inlineStr">
        <is>
          <t>Cloud, hybrid, and enterprise self-hosted options</t>
        </is>
      </c>
      <c r="F2" s="4" t="n">
        <v>4</v>
      </c>
      <c r="G2" s="4" t="n">
        <v>4</v>
      </c>
      <c r="H2" s="4" t="n">
        <v>5</v>
      </c>
      <c r="I2" s="4" t="n">
        <v>5</v>
      </c>
      <c r="J2" s="4" t="n">
        <v>5</v>
      </c>
      <c r="K2" s="4" t="n">
        <v>4</v>
      </c>
      <c r="L2" s="4" t="n">
        <v>5</v>
      </c>
      <c r="M2" s="4" t="n">
        <v>5</v>
      </c>
      <c r="N2" s="4">
        <f>ROUND(((F2*20)+(G2*15)+(H2*15)+(I2*15)+(J2*10)+(M2*5))/(5*80)*100,0)</f>
        <v/>
      </c>
      <c r="O2" s="4">
        <f>ROUND(((K2*10)+(L2*10)+(M2*5))/(5*25)*100,0)</f>
        <v/>
      </c>
      <c r="P2" s="4">
        <f>ROUND((N2*0.7)+(O2*0.3),0)</f>
        <v/>
      </c>
      <c r="Q2" s="4">
        <f>IF(D2="Deprecated/legacy","Avoid/legacy",IF(P2&gt;=85,"Adopt/shortlist",IF(P2&gt;=70,"Strong candidate",IF(P2&gt;=55,"Situational",IF(P2&gt;=40,"Caveat/secondary","Avoid/legacy")))))</f>
        <v/>
      </c>
      <c r="R2" s="4" t="inlineStr">
        <is>
          <t>Strongest fit when the application stack already uses LangChain or the team accepts a managed/commercial control plane.</t>
        </is>
      </c>
      <c r="S2" s="4" t="inlineStr">
        <is>
          <t>SRC004, SRC016, SRC017</t>
        </is>
      </c>
    </row>
    <row r="3">
      <c r="A3" s="4" t="inlineStr">
        <is>
          <t>Langfuse</t>
        </is>
      </c>
      <c r="B3" s="4" t="inlineStr">
        <is>
          <t>Open-source observability plus evaluation platform</t>
        </is>
      </c>
      <c r="C3" s="4" t="inlineStr">
        <is>
          <t>Strong for trace-first RAG quality loops, production scoring, and teams that want self-hosting with documented RBAC and retention controls.</t>
        </is>
      </c>
      <c r="D3" s="4" t="inlineStr">
        <is>
          <t>Observability-first evaluation</t>
        </is>
      </c>
      <c r="E3" s="4" t="inlineStr">
        <is>
          <t>Cloud and self-hosted; enterprise controls vary by edition</t>
        </is>
      </c>
      <c r="F3" s="4" t="n">
        <v>4</v>
      </c>
      <c r="G3" s="4" t="n">
        <v>3</v>
      </c>
      <c r="H3" s="4" t="n">
        <v>4</v>
      </c>
      <c r="I3" s="4" t="n">
        <v>5</v>
      </c>
      <c r="J3" s="4" t="n">
        <v>4</v>
      </c>
      <c r="K3" s="4" t="n">
        <v>5</v>
      </c>
      <c r="L3" s="4" t="n">
        <v>5</v>
      </c>
      <c r="M3" s="4" t="n">
        <v>5</v>
      </c>
      <c r="N3" s="4">
        <f>ROUND(((F3*20)+(G3*15)+(H3*15)+(I3*15)+(J3*10)+(M3*5))/(5*80)*100,0)</f>
        <v/>
      </c>
      <c r="O3" s="4">
        <f>ROUND(((K3*10)+(L3*10)+(M3*5))/(5*25)*100,0)</f>
        <v/>
      </c>
      <c r="P3" s="4">
        <f>ROUND((N3*0.7)+(O3*0.3),0)</f>
        <v/>
      </c>
      <c r="Q3" s="4">
        <f>IF(D3="Deprecated/legacy","Avoid/legacy",IF(P3&gt;=85,"Adopt/shortlist",IF(P3&gt;=70,"Strong candidate",IF(P3&gt;=55,"Situational",IF(P3&gt;=40,"Caveat/secondary","Avoid/legacy")))))</f>
        <v/>
      </c>
      <c r="R3" s="4" t="inlineStr">
        <is>
          <t>Separate OSS/core features from edition-specific enterprise controls before procurement.</t>
        </is>
      </c>
      <c r="S3" s="4" t="inlineStr">
        <is>
          <t>SRC006, SRC018, SRC019</t>
        </is>
      </c>
    </row>
    <row r="4">
      <c r="A4" s="4" t="inlineStr">
        <is>
          <t>W&amp;B Weave</t>
        </is>
      </c>
      <c r="B4" s="4" t="inlineStr">
        <is>
          <t>Managed observability and evaluation platform</t>
        </is>
      </c>
      <c r="C4" s="4" t="inlineStr">
        <is>
          <t>Strong for teams already using W&amp;B and wanting traced RAG steps, datasets, scorers, and evaluation UI in the same ecosystem.</t>
        </is>
      </c>
      <c r="D4" s="4" t="inlineStr">
        <is>
          <t>Managed tracing plus evaluation</t>
        </is>
      </c>
      <c r="E4" s="4" t="inlineStr">
        <is>
          <t>Managed SaaS; self-managed enterprise deployment is available but operationally heavy</t>
        </is>
      </c>
      <c r="F4" s="4" t="n">
        <v>4</v>
      </c>
      <c r="G4" s="4" t="n">
        <v>3</v>
      </c>
      <c r="H4" s="4" t="n">
        <v>5</v>
      </c>
      <c r="I4" s="4" t="n">
        <v>5</v>
      </c>
      <c r="J4" s="4" t="n">
        <v>4</v>
      </c>
      <c r="K4" s="4" t="n">
        <v>4</v>
      </c>
      <c r="L4" s="4" t="n">
        <v>4</v>
      </c>
      <c r="M4" s="4" t="n">
        <v>5</v>
      </c>
      <c r="N4" s="4">
        <f>ROUND(((F4*20)+(G4*15)+(H4*15)+(I4*15)+(J4*10)+(M4*5))/(5*80)*100,0)</f>
        <v/>
      </c>
      <c r="O4" s="4">
        <f>ROUND(((K4*10)+(L4*10)+(M4*5))/(5*25)*100,0)</f>
        <v/>
      </c>
      <c r="P4" s="4">
        <f>ROUND((N4*0.7)+(O4*0.3),0)</f>
        <v/>
      </c>
      <c r="Q4" s="4">
        <f>IF(D4="Deprecated/legacy","Avoid/legacy",IF(P4&gt;=85,"Adopt/shortlist",IF(P4&gt;=70,"Strong candidate",IF(P4&gt;=55,"Situational",IF(P4&gt;=40,"Caveat/secondary","Avoid/legacy")))))</f>
        <v/>
      </c>
      <c r="R4" s="4" t="inlineStr">
        <is>
          <t>Self-managed Weave requires an enterprise W&amp;B Platform deployment, Kubernetes, ClickHouse, S3-compatible storage, and a Weave-enabled license.</t>
        </is>
      </c>
      <c r="S4" s="4" t="inlineStr">
        <is>
          <t>SRC012, SRC022</t>
        </is>
      </c>
    </row>
    <row r="5">
      <c r="A5" s="4" t="inlineStr">
        <is>
          <t>Phoenix</t>
        </is>
      </c>
      <c r="B5" s="4" t="inlineStr">
        <is>
          <t>Open-source observability plus evaluation platform</t>
        </is>
      </c>
      <c r="C5" s="4" t="inlineStr">
        <is>
          <t>Strong for teams that want self-hosted tracing, RAG evaluation, datasets, and privacy controls around evaluation data.</t>
        </is>
      </c>
      <c r="D5" s="4" t="inlineStr">
        <is>
          <t>Trace-first RAG evaluation</t>
        </is>
      </c>
      <c r="E5" s="4" t="inlineStr">
        <is>
          <t>Self-hosted OSS; managed/commercial Arize ecosystem available separately</t>
        </is>
      </c>
      <c r="F5" s="4" t="n">
        <v>4</v>
      </c>
      <c r="G5" s="4" t="n">
        <v>3</v>
      </c>
      <c r="H5" s="4" t="n">
        <v>4</v>
      </c>
      <c r="I5" s="4" t="n">
        <v>5</v>
      </c>
      <c r="J5" s="4" t="n">
        <v>4</v>
      </c>
      <c r="K5" s="4" t="n">
        <v>5</v>
      </c>
      <c r="L5" s="4" t="n">
        <v>4</v>
      </c>
      <c r="M5" s="4" t="n">
        <v>5</v>
      </c>
      <c r="N5" s="4">
        <f>ROUND(((F5*20)+(G5*15)+(H5*15)+(I5*15)+(J5*10)+(M5*5))/(5*80)*100,0)</f>
        <v/>
      </c>
      <c r="O5" s="4">
        <f>ROUND(((K5*10)+(L5*10)+(M5*5))/(5*25)*100,0)</f>
        <v/>
      </c>
      <c r="P5" s="4">
        <f>ROUND((N5*0.7)+(O5*0.3),0)</f>
        <v/>
      </c>
      <c r="Q5" s="4">
        <f>IF(D5="Deprecated/legacy","Avoid/legacy",IF(P5&gt;=85,"Adopt/shortlist",IF(P5&gt;=70,"Strong candidate",IF(P5&gt;=55,"Situational",IF(P5&gt;=40,"Caveat/secondary","Avoid/legacy")))))</f>
        <v/>
      </c>
      <c r="R5" s="4" t="inlineStr">
        <is>
          <t>Managed enterprise controls should be verified separately from self-hosted Phoenix OSS capabilities.</t>
        </is>
      </c>
      <c r="S5" s="4" t="inlineStr">
        <is>
          <t>SRC003, SRC020, SRC021</t>
        </is>
      </c>
    </row>
    <row r="6">
      <c r="A6" s="4" t="inlineStr">
        <is>
          <t>MLflow GenAI</t>
        </is>
      </c>
      <c r="B6" s="4" t="inlineStr">
        <is>
          <t>Open-source AI lifecycle and evaluation platform</t>
        </is>
      </c>
      <c r="C6" s="4" t="inlineStr">
        <is>
          <t>Strong when the organization already standardizes on MLflow and wants GenAI evals, human feedback, tracing, and self-hosted lifecycle governance.</t>
        </is>
      </c>
      <c r="D6" s="4" t="inlineStr">
        <is>
          <t>Lifecycle-centered evaluation</t>
        </is>
      </c>
      <c r="E6" s="4" t="inlineStr">
        <is>
          <t>Fully open-source and self-hostable; managed options depend on platform choice</t>
        </is>
      </c>
      <c r="F6" s="4" t="n">
        <v>3</v>
      </c>
      <c r="G6" s="4" t="n">
        <v>4</v>
      </c>
      <c r="H6" s="4" t="n">
        <v>5</v>
      </c>
      <c r="I6" s="4" t="n">
        <v>4</v>
      </c>
      <c r="J6" s="4" t="n">
        <v>4</v>
      </c>
      <c r="K6" s="4" t="n">
        <v>5</v>
      </c>
      <c r="L6" s="4" t="n">
        <v>4</v>
      </c>
      <c r="M6" s="4" t="n">
        <v>5</v>
      </c>
      <c r="N6" s="4">
        <f>ROUND(((F6*20)+(G6*15)+(H6*15)+(I6*15)+(J6*10)+(M6*5))/(5*80)*100,0)</f>
        <v/>
      </c>
      <c r="O6" s="4">
        <f>ROUND(((K6*10)+(L6*10)+(M6*5))/(5*25)*100,0)</f>
        <v/>
      </c>
      <c r="P6" s="4">
        <f>ROUND((N6*0.7)+(O6*0.3),0)</f>
        <v/>
      </c>
      <c r="Q6" s="4">
        <f>IF(D6="Deprecated/legacy","Avoid/legacy",IF(P6&gt;=85,"Adopt/shortlist",IF(P6&gt;=70,"Strong candidate",IF(P6&gt;=55,"Situational",IF(P6&gt;=40,"Caveat/secondary","Avoid/legacy")))))</f>
        <v/>
      </c>
      <c r="R6" s="4" t="inlineStr">
        <is>
          <t>RAG-specific ergonomics may be less focused than dedicated RAG eval libraries or observability platforms.</t>
        </is>
      </c>
      <c r="S6" s="4" t="inlineStr">
        <is>
          <t>SRC009, SRC025, SRC026</t>
        </is>
      </c>
    </row>
    <row r="7">
      <c r="A7" s="4" t="inlineStr">
        <is>
          <t>Opik</t>
        </is>
      </c>
      <c r="B7" s="4" t="inlineStr">
        <is>
          <t>Open-source and managed LLM observability/evaluation</t>
        </is>
      </c>
      <c r="C7" s="4" t="inlineStr">
        <is>
          <t>Good for teams that want tracing, datasets, experiments, online evaluation, and CI hooks in one evaluation family.</t>
        </is>
      </c>
      <c r="D7" s="4" t="inlineStr">
        <is>
          <t>Observability plus experiments</t>
        </is>
      </c>
      <c r="E7" s="4" t="inlineStr">
        <is>
          <t>Cloud and self-hosting documented in project materials</t>
        </is>
      </c>
      <c r="F7" s="4" t="n">
        <v>4</v>
      </c>
      <c r="G7" s="4" t="n">
        <v>4</v>
      </c>
      <c r="H7" s="4" t="n">
        <v>5</v>
      </c>
      <c r="I7" s="4" t="n">
        <v>5</v>
      </c>
      <c r="J7" s="4" t="n">
        <v>4</v>
      </c>
      <c r="K7" s="4" t="n">
        <v>4</v>
      </c>
      <c r="L7" s="4" t="n">
        <v>3</v>
      </c>
      <c r="M7" s="4" t="n">
        <v>4</v>
      </c>
      <c r="N7" s="4">
        <f>ROUND(((F7*20)+(G7*15)+(H7*15)+(I7*15)+(J7*10)+(M7*5))/(5*80)*100,0)</f>
        <v/>
      </c>
      <c r="O7" s="4">
        <f>ROUND(((K7*10)+(L7*10)+(M7*5))/(5*25)*100,0)</f>
        <v/>
      </c>
      <c r="P7" s="4">
        <f>ROUND((N7*0.7)+(O7*0.3),0)</f>
        <v/>
      </c>
      <c r="Q7" s="4">
        <f>IF(D7="Deprecated/legacy","Avoid/legacy",IF(P7&gt;=85,"Adopt/shortlist",IF(P7&gt;=70,"Strong candidate",IF(P7&gt;=55,"Situational",IF(P7&gt;=40,"Caveat/secondary","Avoid/legacy")))))</f>
        <v/>
      </c>
      <c r="R7" s="4" t="inlineStr">
        <is>
          <t>Public research here verified broad capabilities from the official repository; deeper enterprise controls need vendor-doc confirmation.</t>
        </is>
      </c>
      <c r="S7" s="4" t="inlineStr">
        <is>
          <t>SRC007</t>
        </is>
      </c>
    </row>
    <row r="8">
      <c r="A8" s="4" t="inlineStr">
        <is>
          <t>DeepEval / Confident AI</t>
        </is>
      </c>
      <c r="B8" s="4" t="inlineStr">
        <is>
          <t>Open-source eval framework plus commercial platform</t>
        </is>
      </c>
      <c r="C8" s="4" t="inlineStr">
        <is>
          <t>Strong for CI/regression tests and unit-test-style LLM app evaluation, with team reporting and governance on the Confident AI platform side.</t>
        </is>
      </c>
      <c r="D8" s="4" t="inlineStr">
        <is>
          <t>CI/regression-first evaluation</t>
        </is>
      </c>
      <c r="E8" s="4" t="inlineStr">
        <is>
          <t>Local OSS runner; cloud/self-hosted enterprise platform</t>
        </is>
      </c>
      <c r="F8" s="4" t="n">
        <v>4</v>
      </c>
      <c r="G8" s="4" t="n">
        <v>5</v>
      </c>
      <c r="H8" s="4" t="n">
        <v>4</v>
      </c>
      <c r="I8" s="4" t="n">
        <v>2</v>
      </c>
      <c r="J8" s="4" t="n">
        <v>4</v>
      </c>
      <c r="K8" s="4" t="n">
        <v>4</v>
      </c>
      <c r="L8" s="4" t="n">
        <v>4</v>
      </c>
      <c r="M8" s="4" t="n">
        <v>4</v>
      </c>
      <c r="N8" s="4">
        <f>ROUND(((F8*20)+(G8*15)+(H8*15)+(I8*15)+(J8*10)+(M8*5))/(5*80)*100,0)</f>
        <v/>
      </c>
      <c r="O8" s="4">
        <f>ROUND(((K8*10)+(L8*10)+(M8*5))/(5*25)*100,0)</f>
        <v/>
      </c>
      <c r="P8" s="4">
        <f>ROUND((N8*0.7)+(O8*0.3),0)</f>
        <v/>
      </c>
      <c r="Q8" s="4">
        <f>IF(D8="Deprecated/legacy","Avoid/legacy",IF(P8&gt;=85,"Adopt/shortlist",IF(P8&gt;=70,"Strong candidate",IF(P8&gt;=55,"Situational",IF(P8&gt;=40,"Caveat/secondary","Avoid/legacy")))))</f>
        <v/>
      </c>
      <c r="R8" s="4" t="inlineStr">
        <is>
          <t>Do not treat enterprise SSO/RBAC/audit/retention as features of the local OSS runner; they are platform-side controls.</t>
        </is>
      </c>
      <c r="S8" s="4" t="inlineStr">
        <is>
          <t>SRC002, SRC024</t>
        </is>
      </c>
    </row>
    <row r="9">
      <c r="A9" s="4" t="inlineStr">
        <is>
          <t>Ragas</t>
        </is>
      </c>
      <c r="B9" s="4" t="inlineStr">
        <is>
          <t>RAG-focused evaluation framework</t>
        </is>
      </c>
      <c r="C9" s="4" t="inlineStr">
        <is>
          <t>Best when the team needs RAG-specific metrics, test set generation, and framework integrations, and can pair the library with separate experiment tracking.</t>
        </is>
      </c>
      <c r="D9" s="4" t="inlineStr">
        <is>
          <t>RAG-metrics-first library</t>
        </is>
      </c>
      <c r="E9" s="4" t="inlineStr">
        <is>
          <t>Library/local workflow; governance handled by surrounding stack</t>
        </is>
      </c>
      <c r="F9" s="4" t="n">
        <v>5</v>
      </c>
      <c r="G9" s="4" t="n">
        <v>3</v>
      </c>
      <c r="H9" s="4" t="n">
        <v>5</v>
      </c>
      <c r="I9" s="4" t="n">
        <v>2</v>
      </c>
      <c r="J9" s="4" t="n">
        <v>4</v>
      </c>
      <c r="K9" s="4" t="n">
        <v>3</v>
      </c>
      <c r="L9" s="4" t="n">
        <v>2</v>
      </c>
      <c r="M9" s="4" t="n">
        <v>5</v>
      </c>
      <c r="N9" s="4">
        <f>ROUND(((F9*20)+(G9*15)+(H9*15)+(I9*15)+(J9*10)+(M9*5))/(5*80)*100,0)</f>
        <v/>
      </c>
      <c r="O9" s="4">
        <f>ROUND(((K9*10)+(L9*10)+(M9*5))/(5*25)*100,0)</f>
        <v/>
      </c>
      <c r="P9" s="4">
        <f>ROUND((N9*0.7)+(O9*0.3),0)</f>
        <v/>
      </c>
      <c r="Q9" s="4">
        <f>IF(D9="Deprecated/legacy","Avoid/legacy",IF(P9&gt;=85,"Adopt/shortlist",IF(P9&gt;=70,"Strong candidate",IF(P9&gt;=55,"Situational",IF(P9&gt;=40,"Caveat/secondary","Avoid/legacy")))))</f>
        <v/>
      </c>
      <c r="R9" s="4" t="inlineStr">
        <is>
          <t>Excellent evaluator library, not a complete production governance or observability platform by itself.</t>
        </is>
      </c>
      <c r="S9" s="4" t="inlineStr">
        <is>
          <t>SRC001</t>
        </is>
      </c>
    </row>
    <row r="10">
      <c r="A10" s="4" t="inlineStr">
        <is>
          <t>Giskard OSS / Giskard Hub</t>
        </is>
      </c>
      <c r="B10" s="4" t="inlineStr">
        <is>
          <t>RAG test suites and LLM security validation</t>
        </is>
      </c>
      <c r="C10" s="4" t="inlineStr">
        <is>
          <t>Good for test-suite-driven RAG validation, out-of-scope handling, multi-turn checks, and organizations that also need AI risk/security workflows.</t>
        </is>
      </c>
      <c r="D10" s="4" t="inlineStr">
        <is>
          <t>Test-suite and security oriented</t>
        </is>
      </c>
      <c r="E10" s="4" t="inlineStr">
        <is>
          <t>OSS library with commercial/on-prem Hub controls</t>
        </is>
      </c>
      <c r="F10" s="4" t="n">
        <v>4</v>
      </c>
      <c r="G10" s="4" t="n">
        <v>4</v>
      </c>
      <c r="H10" s="4" t="n">
        <v>4</v>
      </c>
      <c r="I10" s="4" t="n">
        <v>2</v>
      </c>
      <c r="J10" s="4" t="n">
        <v>3</v>
      </c>
      <c r="K10" s="4" t="n">
        <v>4</v>
      </c>
      <c r="L10" s="4" t="n">
        <v>4</v>
      </c>
      <c r="M10" s="4" t="n">
        <v>4</v>
      </c>
      <c r="N10" s="4">
        <f>ROUND(((F10*20)+(G10*15)+(H10*15)+(I10*15)+(J10*10)+(M10*5))/(5*80)*100,0)</f>
        <v/>
      </c>
      <c r="O10" s="4">
        <f>ROUND(((K10*10)+(L10*10)+(M10*5))/(5*25)*100,0)</f>
        <v/>
      </c>
      <c r="P10" s="4">
        <f>ROUND((N10*0.7)+(O10*0.3),0)</f>
        <v/>
      </c>
      <c r="Q10" s="4">
        <f>IF(D10="Deprecated/legacy","Avoid/legacy",IF(P10&gt;=85,"Adopt/shortlist",IF(P10&gt;=70,"Strong candidate",IF(P10&gt;=55,"Situational",IF(P10&gt;=40,"Caveat/secondary","Avoid/legacy")))))</f>
        <v/>
      </c>
      <c r="R10" s="4" t="inlineStr">
        <is>
          <t>Enterprise controls are Hub-side; verify the OSS workflow against the team's desired CI and observability shape.</t>
        </is>
      </c>
      <c r="S10" s="4" t="inlineStr">
        <is>
          <t>SRC010, SRC028</t>
        </is>
      </c>
    </row>
    <row r="11">
      <c r="A11" s="4" t="inlineStr">
        <is>
          <t>Promptfoo</t>
        </is>
      </c>
      <c r="B11" s="4" t="inlineStr">
        <is>
          <t>CLI/config evaluation runner</t>
        </is>
      </c>
      <c r="C11" s="4" t="inlineStr">
        <is>
          <t>Strong for lightweight local/private evals, prompt/provider comparisons, and CI checks where the team owns the evaluation configuration.</t>
        </is>
      </c>
      <c r="D11" s="4" t="inlineStr">
        <is>
          <t>CLI/config-first automation</t>
        </is>
      </c>
      <c r="E11" s="4" t="inlineStr">
        <is>
          <t>Local/private runner; governance handled by surrounding CI/runtime controls</t>
        </is>
      </c>
      <c r="F11" s="4" t="n">
        <v>3</v>
      </c>
      <c r="G11" s="4" t="n">
        <v>5</v>
      </c>
      <c r="H11" s="4" t="n">
        <v>3</v>
      </c>
      <c r="I11" s="4" t="n">
        <v>1</v>
      </c>
      <c r="J11" s="4" t="n">
        <v>4</v>
      </c>
      <c r="K11" s="4" t="n">
        <v>5</v>
      </c>
      <c r="L11" s="4" t="n">
        <v>2</v>
      </c>
      <c r="M11" s="4" t="n">
        <v>4</v>
      </c>
      <c r="N11" s="4">
        <f>ROUND(((F11*20)+(G11*15)+(H11*15)+(I11*15)+(J11*10)+(M11*5))/(5*80)*100,0)</f>
        <v/>
      </c>
      <c r="O11" s="4">
        <f>ROUND(((K11*10)+(L11*10)+(M11*5))/(5*25)*100,0)</f>
        <v/>
      </c>
      <c r="P11" s="4">
        <f>ROUND((N11*0.7)+(O11*0.3),0)</f>
        <v/>
      </c>
      <c r="Q11" s="4">
        <f>IF(D11="Deprecated/legacy","Avoid/legacy",IF(P11&gt;=85,"Adopt/shortlist",IF(P11&gt;=70,"Strong candidate",IF(P11&gt;=55,"Situational",IF(P11&gt;=40,"Caveat/secondary","Avoid/legacy")))))</f>
        <v/>
      </c>
      <c r="R11" s="4" t="inlineStr">
        <is>
          <t>The OSS runner is not a sandbox for untrusted eval configs or code-executing fields; isolate execution for adversarial packs.</t>
        </is>
      </c>
      <c r="S11" s="4" t="inlineStr">
        <is>
          <t>SRC005, SRC027</t>
        </is>
      </c>
    </row>
    <row r="12">
      <c r="A12" s="4" t="inlineStr">
        <is>
          <t>TruLens</t>
        </is>
      </c>
      <c r="B12" s="4" t="inlineStr">
        <is>
          <t>RAG evaluation concepts and feedback functions</t>
        </is>
      </c>
      <c r="C12" s="4" t="inlineStr">
        <is>
          <t>Useful when the team wants explicit RAG Triad-style scoring around context relevance, groundedness, and answer relevance.</t>
        </is>
      </c>
      <c r="D12" s="4" t="inlineStr">
        <is>
          <t>RAG-concepts-first evaluation</t>
        </is>
      </c>
      <c r="E12" s="4" t="inlineStr">
        <is>
          <t>Library/framework workflow; governance handled by surrounding stack</t>
        </is>
      </c>
      <c r="F12" s="4" t="n">
        <v>5</v>
      </c>
      <c r="G12" s="4" t="n">
        <v>2</v>
      </c>
      <c r="H12" s="4" t="n">
        <v>3</v>
      </c>
      <c r="I12" s="4" t="n">
        <v>3</v>
      </c>
      <c r="J12" s="4" t="n">
        <v>3</v>
      </c>
      <c r="K12" s="4" t="n">
        <v>3</v>
      </c>
      <c r="L12" s="4" t="n">
        <v>2</v>
      </c>
      <c r="M12" s="4" t="n">
        <v>4</v>
      </c>
      <c r="N12" s="4">
        <f>ROUND(((F12*20)+(G12*15)+(H12*15)+(I12*15)+(J12*10)+(M12*5))/(5*80)*100,0)</f>
        <v/>
      </c>
      <c r="O12" s="4">
        <f>ROUND(((K12*10)+(L12*10)+(M12*5))/(5*25)*100,0)</f>
        <v/>
      </c>
      <c r="P12" s="4">
        <f>ROUND((N12*0.7)+(O12*0.3),0)</f>
        <v/>
      </c>
      <c r="Q12" s="4">
        <f>IF(D12="Deprecated/legacy","Avoid/legacy",IF(P12&gt;=85,"Adopt/shortlist",IF(P12&gt;=70,"Strong candidate",IF(P12&gt;=55,"Situational",IF(P12&gt;=40,"Caveat/secondary","Avoid/legacy")))))</f>
        <v/>
      </c>
      <c r="R12" s="4" t="inlineStr">
        <is>
          <t>Treat as a strong evaluator/concept layer unless the broader platform requirements are already solved elsewhere.</t>
        </is>
      </c>
      <c r="S12" s="4" t="inlineStr">
        <is>
          <t>SRC008</t>
        </is>
      </c>
    </row>
    <row r="13">
      <c r="A13" s="4" t="inlineStr">
        <is>
          <t>LlamaIndex evaluators</t>
        </is>
      </c>
      <c r="B13" s="4" t="inlineStr">
        <is>
          <t>Framework-native evaluation support</t>
        </is>
      </c>
      <c r="C13" s="4" t="inlineStr">
        <is>
          <t>Use as a primary option only when the production RAG app is built on LlamaIndex; otherwise treat as framework-native support or a metric source.</t>
        </is>
      </c>
      <c r="D13" s="4" t="inlineStr">
        <is>
          <t>Framework-native</t>
        </is>
      </c>
      <c r="E13" s="4" t="inlineStr">
        <is>
          <t>Part of application framework; platform controls come from surrounding stack</t>
        </is>
      </c>
      <c r="F13" s="4" t="n">
        <v>4</v>
      </c>
      <c r="G13" s="4" t="n">
        <v>2</v>
      </c>
      <c r="H13" s="4" t="n">
        <v>4</v>
      </c>
      <c r="I13" s="4" t="n">
        <v>2</v>
      </c>
      <c r="J13" s="4" t="n">
        <v>5</v>
      </c>
      <c r="K13" s="4" t="n">
        <v>3</v>
      </c>
      <c r="L13" s="4" t="n">
        <v>1</v>
      </c>
      <c r="M13" s="4" t="n">
        <v>4</v>
      </c>
      <c r="N13" s="4">
        <f>ROUND(((F13*20)+(G13*15)+(H13*15)+(I13*15)+(J13*10)+(M13*5))/(5*80)*100,0)</f>
        <v/>
      </c>
      <c r="O13" s="4">
        <f>ROUND(((K13*10)+(L13*10)+(M13*5))/(5*25)*100,0)</f>
        <v/>
      </c>
      <c r="P13" s="4">
        <f>ROUND((N13*0.7)+(O13*0.3),0)</f>
        <v/>
      </c>
      <c r="Q13" s="4">
        <f>IF(D13="Deprecated/legacy","Avoid/legacy",IF(P13&gt;=85,"Adopt/shortlist",IF(P13&gt;=70,"Strong candidate",IF(P13&gt;=55,"Situational",IF(P13&gt;=40,"Caveat/secondary","Avoid/legacy")))))</f>
        <v/>
      </c>
      <c r="R13" s="4" t="inlineStr">
        <is>
          <t>Not a standalone evaluation platform for teams outside the LlamaIndex ecosystem.</t>
        </is>
      </c>
      <c r="S13" s="4" t="inlineStr">
        <is>
          <t>SRC013</t>
        </is>
      </c>
    </row>
    <row r="14">
      <c r="A14" s="4" t="inlineStr">
        <is>
          <t>Haystack evaluation</t>
        </is>
      </c>
      <c r="B14" s="4" t="inlineStr">
        <is>
          <t>Framework-native evaluation support</t>
        </is>
      </c>
      <c r="C14" s="4" t="inlineStr">
        <is>
          <t>Use as a primary option only for Haystack-based RAG pipelines; otherwise treat as framework-native evaluation support.</t>
        </is>
      </c>
      <c r="D14" s="4" t="inlineStr">
        <is>
          <t>Framework-native</t>
        </is>
      </c>
      <c r="E14" s="4" t="inlineStr">
        <is>
          <t>Part of application framework; platform controls come from surrounding stack</t>
        </is>
      </c>
      <c r="F14" s="4" t="n">
        <v>4</v>
      </c>
      <c r="G14" s="4" t="n">
        <v>2</v>
      </c>
      <c r="H14" s="4" t="n">
        <v>3</v>
      </c>
      <c r="I14" s="4" t="n">
        <v>2</v>
      </c>
      <c r="J14" s="4" t="n">
        <v>5</v>
      </c>
      <c r="K14" s="4" t="n">
        <v>3</v>
      </c>
      <c r="L14" s="4" t="n">
        <v>1</v>
      </c>
      <c r="M14" s="4" t="n">
        <v>4</v>
      </c>
      <c r="N14" s="4">
        <f>ROUND(((F14*20)+(G14*15)+(H14*15)+(I14*15)+(J14*10)+(M14*5))/(5*80)*100,0)</f>
        <v/>
      </c>
      <c r="O14" s="4">
        <f>ROUND(((K14*10)+(L14*10)+(M14*5))/(5*25)*100,0)</f>
        <v/>
      </c>
      <c r="P14" s="4">
        <f>ROUND((N14*0.7)+(O14*0.3),0)</f>
        <v/>
      </c>
      <c r="Q14" s="4">
        <f>IF(D14="Deprecated/legacy","Avoid/legacy",IF(P14&gt;=85,"Adopt/shortlist",IF(P14&gt;=70,"Strong candidate",IF(P14&gt;=55,"Situational",IF(P14&gt;=40,"Caveat/secondary","Avoid/legacy")))))</f>
        <v/>
      </c>
      <c r="R14" s="4" t="inlineStr">
        <is>
          <t>Strongest inside Haystack pipelines; not a standalone observability or governance platform.</t>
        </is>
      </c>
      <c r="S14" s="4" t="inlineStr">
        <is>
          <t>SRC014</t>
        </is>
      </c>
    </row>
    <row r="15">
      <c r="A15" s="4" t="inlineStr">
        <is>
          <t>Evidently OSS / Platform</t>
        </is>
      </c>
      <c r="B15" s="4" t="inlineStr">
        <is>
          <t>Quality monitoring and report-driven evaluation</t>
        </is>
      </c>
      <c r="C15" s="4" t="inlineStr">
        <is>
          <t>Good for notebook/report-driven RAG quality checks and teams that want dataframe outputs, visual reports, and ML quality monitoring patterns.</t>
        </is>
      </c>
      <c r="D15" s="4" t="inlineStr">
        <is>
          <t>Report and monitoring oriented</t>
        </is>
      </c>
      <c r="E15" s="4" t="inlineStr">
        <is>
          <t>OSS library; self-hosted platform; commercial/cloud status needs confirmation</t>
        </is>
      </c>
      <c r="F15" s="4" t="n">
        <v>4</v>
      </c>
      <c r="G15" s="4" t="n">
        <v>2</v>
      </c>
      <c r="H15" s="4" t="n">
        <v>3</v>
      </c>
      <c r="I15" s="4" t="n">
        <v>2</v>
      </c>
      <c r="J15" s="4" t="n">
        <v>3</v>
      </c>
      <c r="K15" s="4" t="n">
        <v>3</v>
      </c>
      <c r="L15" s="4" t="n">
        <v>2</v>
      </c>
      <c r="M15" s="4" t="n">
        <v>3</v>
      </c>
      <c r="N15" s="4">
        <f>ROUND(((F15*20)+(G15*15)+(H15*15)+(I15*15)+(J15*10)+(M15*5))/(5*80)*100,0)</f>
        <v/>
      </c>
      <c r="O15" s="4">
        <f>ROUND(((K15*10)+(L15*10)+(M15*5))/(5*25)*100,0)</f>
        <v/>
      </c>
      <c r="P15" s="4">
        <f>ROUND((N15*0.7)+(O15*0.3),0)</f>
        <v/>
      </c>
      <c r="Q15" s="4">
        <f>IF(D15="Deprecated/legacy","Avoid/legacy",IF(P15&gt;=85,"Adopt/shortlist",IF(P15&gt;=70,"Strong candidate",IF(P15&gt;=55,"Situational",IF(P15&gt;=40,"Caveat/secondary","Avoid/legacy")))))</f>
        <v/>
      </c>
      <c r="R15" s="4" t="inlineStr">
        <is>
          <t>Managed SaaS availability has conflicting official documentation; require vendor confirmation before scoring it as available.</t>
        </is>
      </c>
      <c r="S15" s="4" t="inlineStr">
        <is>
          <t>SRC011, SRC023, SRC029, SRC030</t>
        </is>
      </c>
    </row>
    <row r="16">
      <c r="A16" s="4" t="inlineStr">
        <is>
          <t>OpenAI Evals / Evals API</t>
        </is>
      </c>
      <c r="B16" s="4" t="inlineStr">
        <is>
          <t>OpenAI-specific legacy/caveat</t>
        </is>
      </c>
      <c r="C16" s="4" t="inlineStr">
        <is>
          <t>Do not choose as a long-term primary RAG evaluation stack; keep only as a legacy/OpenAI-specific caveat where already in use.</t>
        </is>
      </c>
      <c r="D16" s="4" t="inlineStr">
        <is>
          <t>Deprecated/legacy</t>
        </is>
      </c>
      <c r="E16" s="4" t="inlineStr">
        <is>
          <t>OpenAI platform-specific; long-term availability risk</t>
        </is>
      </c>
      <c r="F16" s="4" t="n">
        <v>2</v>
      </c>
      <c r="G16" s="4" t="n">
        <v>2</v>
      </c>
      <c r="H16" s="4" t="n">
        <v>3</v>
      </c>
      <c r="I16" s="4" t="n">
        <v>1</v>
      </c>
      <c r="J16" s="4" t="n">
        <v>3</v>
      </c>
      <c r="K16" s="4" t="n">
        <v>1</v>
      </c>
      <c r="L16" s="4" t="n">
        <v>1</v>
      </c>
      <c r="M16" s="4" t="n">
        <v>5</v>
      </c>
      <c r="N16" s="4">
        <f>ROUND(((F16*20)+(G16*15)+(H16*15)+(I16*15)+(J16*10)+(M16*5))/(5*80)*100,0)</f>
        <v/>
      </c>
      <c r="O16" s="4">
        <f>ROUND(((K16*10)+(L16*10)+(M16*5))/(5*25)*100,0)</f>
        <v/>
      </c>
      <c r="P16" s="4">
        <f>ROUND((N16*0.7)+(O16*0.3),0)</f>
        <v/>
      </c>
      <c r="Q16" s="4">
        <f>IF(D16="Deprecated/legacy","Avoid/legacy",IF(P16&gt;=85,"Adopt/shortlist",IF(P16&gt;=70,"Strong candidate",IF(P16&gt;=55,"Situational",IF(P16&gt;=40,"Caveat/secondary","Avoid/legacy")))))</f>
        <v/>
      </c>
      <c r="R16" s="4" t="inlineStr">
        <is>
          <t>Official docs state Evals platform read-only for existing users on 2026-10-31 and shutdown on 2026-11-30.</t>
        </is>
      </c>
      <c r="S16" s="4" t="inlineStr">
        <is>
          <t>SRC015</t>
        </is>
      </c>
    </row>
  </sheetData>
  <conditionalFormatting sqref="N2:P16">
    <cfRule type="colorScale" priority="1">
      <colorScale>
        <cfvo type="num" val="0"/>
        <cfvo type="num" val="65"/>
        <cfvo type="num" val="100"/>
        <color rgb="00F8696B"/>
        <color rgb="00FFEB84"/>
        <color rgb="0063BE7B"/>
      </colorScale>
    </cfRule>
  </conditionalFormatting>
  <dataValidations count="1">
    <dataValidation sqref="F2:M16" showDropDown="0" showInputMessage="0" showErrorMessage="0" allowBlank="0" type="whole" operator="between">
      <formula1>0</formula1>
      <formula2>5</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6" customWidth="1" min="3" max="3"/>
    <col width="86" customWidth="1" min="4" max="4"/>
  </cols>
  <sheetData>
    <row r="1">
      <c r="A1" s="3" t="inlineStr">
        <is>
          <t>Criterion</t>
        </is>
      </c>
      <c r="B1" s="3" t="inlineStr">
        <is>
          <t>Weight</t>
        </is>
      </c>
      <c r="C1" s="3" t="inlineStr">
        <is>
          <t>Layer</t>
        </is>
      </c>
      <c r="D1" s="3" t="inlineStr">
        <is>
          <t>Notes</t>
        </is>
      </c>
    </row>
    <row r="2">
      <c r="A2" t="inlineStr">
        <is>
          <t>RAG-specific metrics and evaluators</t>
        </is>
      </c>
      <c r="B2" t="n">
        <v>20</v>
      </c>
      <c r="C2" t="inlineStr">
        <is>
          <t>Evaluation</t>
        </is>
      </c>
      <c r="D2" t="inlineStr">
        <is>
          <t>Does the tool directly evaluate retrieval quality, groundedness, answer quality, and related RAG failure modes?</t>
        </is>
      </c>
    </row>
    <row r="3">
      <c r="A3" t="inlineStr">
        <is>
          <t>Repeatable regression and CI workflow</t>
        </is>
      </c>
      <c r="B3" t="n">
        <v>15</v>
      </c>
      <c r="C3" t="inlineStr">
        <is>
          <t>Evaluation</t>
        </is>
      </c>
      <c r="D3" t="inlineStr">
        <is>
          <t>How directly can teams run repeatable eval suites in CI or automated regression gates?</t>
        </is>
      </c>
    </row>
    <row r="4">
      <c r="A4" t="inlineStr">
        <is>
          <t>Dataset/testset and experiment workflow</t>
        </is>
      </c>
      <c r="B4" t="n">
        <v>15</v>
      </c>
      <c r="C4" t="inlineStr">
        <is>
          <t>Evaluation</t>
        </is>
      </c>
      <c r="D4" t="inlineStr">
        <is>
          <t>How well does the tool support datasets, generated test sets, experiments, examples, or runs?</t>
        </is>
      </c>
    </row>
    <row r="5">
      <c r="A5" t="inlineStr">
        <is>
          <t>Observability/tracing and production feedback loop</t>
        </is>
      </c>
      <c r="B5" t="n">
        <v>15</v>
      </c>
      <c r="C5" t="inlineStr">
        <is>
          <t>Evaluation</t>
        </is>
      </c>
      <c r="D5" t="inlineStr">
        <is>
          <t>Can scores be attached to traces/spans or production feedback loops?</t>
        </is>
      </c>
    </row>
    <row r="6">
      <c r="A6" t="inlineStr">
        <is>
          <t>Integration fit with common RAG stacks</t>
        </is>
      </c>
      <c r="B6" t="n">
        <v>10</v>
      </c>
      <c r="C6" t="inlineStr">
        <is>
          <t>Evaluation</t>
        </is>
      </c>
      <c r="D6" t="inlineStr">
        <is>
          <t>How cleanly does it integrate with common RAG frameworks and app stacks?</t>
        </is>
      </c>
    </row>
    <row r="7">
      <c r="A7" t="inlineStr">
        <is>
          <t>Deployment/data-control posture</t>
        </is>
      </c>
      <c r="B7" t="n">
        <v>10</v>
      </c>
      <c r="C7" t="inlineStr">
        <is>
          <t>Operational</t>
        </is>
      </c>
      <c r="D7" t="inlineStr">
        <is>
          <t>Is the tool local, self-hostable, hybrid, or otherwise usable under data-control constraints?</t>
        </is>
      </c>
    </row>
    <row r="8">
      <c r="A8" t="inlineStr">
        <is>
          <t>Access control, retention, audit, and enterprise governance</t>
        </is>
      </c>
      <c r="B8" t="n">
        <v>10</v>
      </c>
      <c r="C8" t="inlineStr">
        <is>
          <t>Operational</t>
        </is>
      </c>
      <c r="D8" t="inlineStr">
        <is>
          <t>Are RBAC, retention, audit, SSO, or equivalent controls publicly documented?</t>
        </is>
      </c>
    </row>
    <row r="9">
      <c r="A9" t="inlineStr">
        <is>
          <t>Public evidence maturity</t>
        </is>
      </c>
      <c r="B9" t="n">
        <v>5</v>
      </c>
      <c r="C9" t="inlineStr">
        <is>
          <t>Both</t>
        </is>
      </c>
      <c r="D9" t="inlineStr">
        <is>
          <t>How strong and specific is the public evidence used for this row?</t>
        </is>
      </c>
    </row>
    <row r="11">
      <c r="A11" s="3" t="inlineStr">
        <is>
          <t>Scoring scale</t>
        </is>
      </c>
      <c r="B11" s="3" t="inlineStr">
        <is>
          <t>Meaning</t>
        </is>
      </c>
      <c r="C11" s="3" t="inlineStr">
        <is>
          <t>Use</t>
        </is>
      </c>
      <c r="D11" s="3" t="n"/>
    </row>
    <row r="12">
      <c r="A12" t="n">
        <v>5</v>
      </c>
      <c r="B12" t="inlineStr">
        <is>
          <t>Strong, directly documented fit</t>
        </is>
      </c>
      <c r="C12" t="inlineStr">
        <is>
          <t>Use when public docs show the capability as a first-class workflow.</t>
        </is>
      </c>
    </row>
    <row r="13">
      <c r="A13" t="n">
        <v>4</v>
      </c>
      <c r="B13" t="inlineStr">
        <is>
          <t>Good documented fit</t>
        </is>
      </c>
      <c r="C13" t="inlineStr">
        <is>
          <t>Use when docs show the capability but with narrower scope or edition caveats.</t>
        </is>
      </c>
    </row>
    <row r="14">
      <c r="A14" t="n">
        <v>3</v>
      </c>
      <c r="B14" t="inlineStr">
        <is>
          <t>Moderate fit</t>
        </is>
      </c>
      <c r="C14" t="inlineStr">
        <is>
          <t>Use when capability exists but depends on surrounding stack or extra work.</t>
        </is>
      </c>
    </row>
    <row r="15">
      <c r="A15" t="n">
        <v>2</v>
      </c>
      <c r="B15" t="inlineStr">
        <is>
          <t>Limited fit</t>
        </is>
      </c>
      <c r="C15" t="inlineStr">
        <is>
          <t>Use when public docs imply partial support or weak operational fit.</t>
        </is>
      </c>
    </row>
    <row r="16">
      <c r="A16" t="n">
        <v>1</v>
      </c>
      <c r="B16" t="inlineStr">
        <is>
          <t>Minimal or governance handled elsewhere</t>
        </is>
      </c>
      <c r="C16" t="inlineStr">
        <is>
          <t>Use for framework/library rows without platform controls.</t>
        </is>
      </c>
    </row>
    <row r="17">
      <c r="A17" t="n">
        <v>0</v>
      </c>
      <c r="B17" t="inlineStr">
        <is>
          <t>Not found or not applicable</t>
        </is>
      </c>
      <c r="C17" t="inlineStr">
        <is>
          <t>Use when public evidence is absent or the feature is clearly out of scope.</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72" customWidth="1" min="3" max="3"/>
    <col width="92" customWidth="1" min="4" max="4"/>
    <col width="22" customWidth="1" min="5" max="5"/>
  </cols>
  <sheetData>
    <row r="1">
      <c r="A1" s="3" t="inlineStr">
        <is>
          <t>Source ID</t>
        </is>
      </c>
      <c r="B1" s="3" t="inlineStr">
        <is>
          <t>Title</t>
        </is>
      </c>
      <c r="C1" s="3" t="inlineStr">
        <is>
          <t>URL</t>
        </is>
      </c>
      <c r="D1" s="3" t="inlineStr">
        <is>
          <t>Evidence note</t>
        </is>
      </c>
      <c r="E1" s="3" t="inlineStr">
        <is>
          <t>Recorded at</t>
        </is>
      </c>
    </row>
    <row r="2">
      <c r="A2" s="4" t="inlineStr">
        <is>
          <t>SRC001</t>
        </is>
      </c>
      <c r="B2" s="4" t="inlineStr">
        <is>
          <t>Ragas documentation</t>
        </is>
      </c>
      <c r="C2" s="4" t="inlineStr">
        <is>
          <t>https://docs.ragas.io/en/stable/</t>
        </is>
      </c>
      <c r="D2" s="4" t="inlineStr">
        <is>
          <t>Official docs describe Ragas as a library for systematic evaluation loops, LLM-app metrics, test set generation, and integrations with frameworks such as LangChain and LlamaIndex.</t>
        </is>
      </c>
      <c r="E2" s="4" t="inlineStr">
        <is>
          <t>2026-06-16T12:05:06Z</t>
        </is>
      </c>
    </row>
    <row r="3">
      <c r="A3" s="4" t="inlineStr">
        <is>
          <t>SRC002</t>
        </is>
      </c>
      <c r="B3" s="4" t="inlineStr">
        <is>
          <t>DeepEval 5-min Quickstart</t>
        </is>
      </c>
      <c r="C3" s="4" t="inlineStr">
        <is>
          <t>https://deepeval.com/docs/getting-started</t>
        </is>
      </c>
      <c r="D3" s="4" t="inlineStr">
        <is>
          <t>Official quickstart shows local evaluation through test cases, metrics, and the deepeval test run workflow, with optional Confident AI reporting.</t>
        </is>
      </c>
      <c r="E3" s="4" t="inlineStr">
        <is>
          <t>2026-06-16T12:05:06Z</t>
        </is>
      </c>
    </row>
    <row r="4">
      <c r="A4" s="4" t="inlineStr">
        <is>
          <t>SRC003</t>
        </is>
      </c>
      <c r="B4" s="4" t="inlineStr">
        <is>
          <t>Phoenix: Evaluate RAG</t>
        </is>
      </c>
      <c r="C4" s="4" t="inlineStr">
        <is>
          <t>https://arize.com/docs/phoenix/cookbook/evaluation/evaluate-rag</t>
        </is>
      </c>
      <c r="D4" s="4" t="inlineStr">
        <is>
          <t>Official Phoenix cookbook demonstrates building a RAG pipeline, tracing it, and evaluating retrieval and response quality with Phoenix Evals.</t>
        </is>
      </c>
      <c r="E4" s="4" t="inlineStr">
        <is>
          <t>2026-06-16T12:05:06Z</t>
        </is>
      </c>
    </row>
    <row r="5">
      <c r="A5" s="4" t="inlineStr">
        <is>
          <t>SRC004</t>
        </is>
      </c>
      <c r="B5" s="4" t="inlineStr">
        <is>
          <t>LangSmith: Evaluate a RAG application</t>
        </is>
      </c>
      <c r="C5" s="4" t="inlineStr">
        <is>
          <t>https://docs.langchain.com/langsmith/evaluate-rag-tutorial</t>
        </is>
      </c>
      <c r="D5" s="4" t="inlineStr">
        <is>
          <t>Official LangSmith tutorial covers datasets, running a RAG app over examples, and metrics such as correctness, relevance, groundedness, and retrieval relevance.</t>
        </is>
      </c>
      <c r="E5" s="4" t="inlineStr">
        <is>
          <t>2026-06-16T12:05:06Z</t>
        </is>
      </c>
    </row>
    <row r="6">
      <c r="A6" s="4" t="inlineStr">
        <is>
          <t>SRC005</t>
        </is>
      </c>
      <c r="B6" s="4" t="inlineStr">
        <is>
          <t>Promptfoo: Evaluating RAG pipelines</t>
        </is>
      </c>
      <c r="C6" s="4" t="inlineStr">
        <is>
          <t>https://www.promptfoo.dev/docs/guides/evaluate-rag/</t>
        </is>
      </c>
      <c r="D6" s="4" t="inlineStr">
        <is>
          <t>Official guide frames RAG evaluation as separate retrieval and generation checks, with output-based, context-based, and custom metrics usable from CLI/config workflows.</t>
        </is>
      </c>
      <c r="E6" s="4" t="inlineStr">
        <is>
          <t>2026-06-16T12:05:06Z</t>
        </is>
      </c>
    </row>
    <row r="7">
      <c r="A7" s="4" t="inlineStr">
        <is>
          <t>SRC006</t>
        </is>
      </c>
      <c r="B7" s="4" t="inlineStr">
        <is>
          <t>Evaluation of RAG pipelines with Ragas - Langfuse</t>
        </is>
      </c>
      <c r="C7" s="4" t="inlineStr">
        <is>
          <t>https://langfuse.com/guides/cookbook/evaluation_of_rag_with_ragas</t>
        </is>
      </c>
      <c r="D7" s="4" t="inlineStr">
        <is>
          <t>Official Langfuse cookbook showing trace/span scoring and Ragas-based RAG evaluation over production traces.</t>
        </is>
      </c>
      <c r="E7" s="4" t="inlineStr">
        <is>
          <t>2026-06-16T12:14:51Z</t>
        </is>
      </c>
    </row>
    <row r="8">
      <c r="A8" s="4" t="inlineStr">
        <is>
          <t>SRC007</t>
        </is>
      </c>
      <c r="B8" s="4" t="inlineStr">
        <is>
          <t>comet-ml/opik GitHub repository</t>
        </is>
      </c>
      <c r="C8" s="4" t="inlineStr">
        <is>
          <t>https://github.com/comet-ml/opik</t>
        </is>
      </c>
      <c r="D8" s="4" t="inlineStr">
        <is>
          <t>Official Opik repository describing observability, automated evaluation, datasets, experiments, RAG metrics, PyTest CI integration, cloud, and self-hosting.</t>
        </is>
      </c>
      <c r="E8" s="4" t="inlineStr">
        <is>
          <t>2026-06-16T12:14:51Z</t>
        </is>
      </c>
    </row>
    <row r="9">
      <c r="A9" s="4" t="inlineStr">
        <is>
          <t>SRC008</t>
        </is>
      </c>
      <c r="B9" s="4" t="inlineStr">
        <is>
          <t>The RAG Triad - TruLens</t>
        </is>
      </c>
      <c r="C9" s="4" t="inlineStr">
        <is>
          <t>https://www.trulens.org/getting_started/core_concepts/rag_triad/</t>
        </is>
      </c>
      <c r="D9" s="4" t="inlineStr">
        <is>
          <t>Official TruLens concept page defining context relevance, groundedness, and answer relevance for RAG evaluation.</t>
        </is>
      </c>
      <c r="E9" s="4" t="inlineStr">
        <is>
          <t>2026-06-16T12:14:51Z</t>
        </is>
      </c>
    </row>
    <row r="10">
      <c r="A10" s="4" t="inlineStr">
        <is>
          <t>SRC009</t>
        </is>
      </c>
      <c r="B10" s="4" t="inlineStr">
        <is>
          <t>Evaluating LLMs and Agents with MLflow</t>
        </is>
      </c>
      <c r="C10" s="4" t="inlineStr">
        <is>
          <t>https://mlflow.org/docs/latest/genai/eval-monitor/</t>
        </is>
      </c>
      <c r="D10" s="4" t="inlineStr">
        <is>
          <t>Official MLflow GenAI evaluation documentation covering datasets, human feedback, LLM-as-judge scorers, systematic evaluation, and production monitoring.</t>
        </is>
      </c>
      <c r="E10" s="4" t="inlineStr">
        <is>
          <t>2026-06-16T12:14:51Z</t>
        </is>
      </c>
    </row>
    <row r="11">
      <c r="A11" s="4" t="inlineStr">
        <is>
          <t>SRC010</t>
        </is>
      </c>
      <c r="B11" s="4" t="inlineStr">
        <is>
          <t>RAG Evaluation - Giskard Documentation</t>
        </is>
      </c>
      <c r="C11" s="4" t="inlineStr">
        <is>
          <t>https://docs.giskard.ai/oss/checks/use-cases/rag-evaluation</t>
        </is>
      </c>
      <c r="D11" s="4" t="inlineStr">
        <is>
          <t>Official Giskard open-source RAG evaluation example covering retrieval quality, groundedness, answer quality, out-of-scope questions, and multi-turn RAG tests.</t>
        </is>
      </c>
      <c r="E11" s="4" t="inlineStr">
        <is>
          <t>2026-06-16T12:14:51Z</t>
        </is>
      </c>
    </row>
    <row r="12">
      <c r="A12" s="4" t="inlineStr">
        <is>
          <t>SRC011</t>
        </is>
      </c>
      <c r="B12" s="4" t="inlineStr">
        <is>
          <t>Evidently documentation: RAG evals</t>
        </is>
      </c>
      <c r="C12" s="4" t="inlineStr">
        <is>
          <t>https://docs.evidentlyai.com/examples/LLM_rag_evals</t>
        </is>
      </c>
      <c r="D12" s="4" t="inlineStr">
        <is>
          <t>Official Evidently tutorial for evaluating RAG retrieval and generation quality with a local open-source workflow, pandas dataframe output, visual reports, and optional platform upload.</t>
        </is>
      </c>
      <c r="E12" s="4" t="inlineStr">
        <is>
          <t>2026-06-16T12:27:15Z</t>
        </is>
      </c>
    </row>
    <row r="13">
      <c r="A13" s="4" t="inlineStr">
        <is>
          <t>SRC012</t>
        </is>
      </c>
      <c r="B13" s="4" t="inlineStr">
        <is>
          <t>W&amp;B Weave documentation: Evaluate RAG applications</t>
        </is>
      </c>
      <c r="C13" s="4" t="inlineStr">
        <is>
          <t>https://docs.wandb.ai/weave/tutorial-rag</t>
        </is>
      </c>
      <c r="D13" s="4" t="inlineStr">
        <is>
          <t>Official Weave guide showing retrieval-step tracing and RAG response evaluation with LLM judges, context precision, datasets, and scorers.</t>
        </is>
      </c>
      <c r="E13" s="4" t="inlineStr">
        <is>
          <t>2026-06-16T12:27:15Z</t>
        </is>
      </c>
    </row>
    <row r="14">
      <c r="A14" s="4" t="inlineStr">
        <is>
          <t>SRC013</t>
        </is>
      </c>
      <c r="B14" s="4" t="inlineStr">
        <is>
          <t>LlamaIndex documentation: Evaluating</t>
        </is>
      </c>
      <c r="C14" s="4" t="inlineStr">
        <is>
          <t>https://developers.llamaindex.ai/python/framework/module_guides/evaluating/</t>
        </is>
      </c>
      <c r="D14" s="4" t="inlineStr">
        <is>
          <t>Official LlamaIndex framework docs covering response evaluation, retrieval evaluation, faithfulness, relevancy, semantic similarity, guideline adherence, synthetic question generation, and retrieval metrics.</t>
        </is>
      </c>
      <c r="E14" s="4" t="inlineStr">
        <is>
          <t>2026-06-16T12:27:15Z</t>
        </is>
      </c>
    </row>
    <row r="15">
      <c r="A15" s="4" t="inlineStr">
        <is>
          <t>SRC014</t>
        </is>
      </c>
      <c r="B15" s="4" t="inlineStr">
        <is>
          <t>Haystack documentation: Model-Based Evaluation</t>
        </is>
      </c>
      <c r="C15" s="4" t="inlineStr">
        <is>
          <t>https://docs.haystack.deepset.ai/docs/model-based-evaluation</t>
        </is>
      </c>
      <c r="D15" s="4" t="inlineStr">
        <is>
          <t>Official Haystack docs for model-based RAG pipeline evaluation, context relevance, faithfulness/groundedness, local evaluator models, and integrations with Ragas and DeepEval.</t>
        </is>
      </c>
      <c r="E15" s="4" t="inlineStr">
        <is>
          <t>2026-06-16T12:27:15Z</t>
        </is>
      </c>
    </row>
    <row r="16">
      <c r="A16" s="4" t="inlineStr">
        <is>
          <t>SRC015</t>
        </is>
      </c>
      <c r="B16" s="4" t="inlineStr">
        <is>
          <t>OpenAI API documentation: Working with evals</t>
        </is>
      </c>
      <c r="C16" s="4" t="inlineStr">
        <is>
          <t>https://developers.openai.com/api/docs/guides/evals</t>
        </is>
      </c>
      <c r="D16" s="4" t="inlineStr">
        <is>
          <t>Official OpenAI Evals API docs describing eval creation/runs and stating the Evals platform deprecation timeline: read-only on 2026-10-31 and shutdown on 2026-11-30.</t>
        </is>
      </c>
      <c r="E16" s="4" t="inlineStr">
        <is>
          <t>2026-06-16T12:27:15Z</t>
        </is>
      </c>
    </row>
    <row r="17">
      <c r="A17" s="4" t="inlineStr">
        <is>
          <t>SRC016</t>
        </is>
      </c>
      <c r="B17" s="4" t="inlineStr">
        <is>
          <t>LangSmith for Enterprise</t>
        </is>
      </c>
      <c r="C17" s="4" t="inlineStr">
        <is>
          <t>https://docs.langchain.com/langsmith/enterprise</t>
        </is>
      </c>
      <c r="D17" s="4" t="inlineStr">
        <is>
          <t>Official LangSmith enterprise deployment and user-management evidence: cloud, hybrid, self-hosted, roles, SCIM, SSO, and JIT provisioning.</t>
        </is>
      </c>
      <c r="E17" s="4" t="inlineStr">
        <is>
          <t>2026-06-16T12:43:05Z</t>
        </is>
      </c>
    </row>
    <row r="18">
      <c r="A18" s="4" t="inlineStr">
        <is>
          <t>SRC017</t>
        </is>
      </c>
      <c r="B18" s="4" t="inlineStr">
        <is>
          <t>LangSmith Administration Overview</t>
        </is>
      </c>
      <c r="C18" s="4" t="inlineStr">
        <is>
          <t>https://docs.langchain.com/langsmith/administration-overview</t>
        </is>
      </c>
      <c r="D18" s="4" t="inlineStr">
        <is>
          <t>Official LangSmith data-retention evidence: Base/Extended trace retention tiers and enterprise customization.</t>
        </is>
      </c>
      <c r="E18" s="4" t="inlineStr">
        <is>
          <t>2026-06-16T12:43:05Z</t>
        </is>
      </c>
    </row>
    <row r="19">
      <c r="A19" s="4" t="inlineStr">
        <is>
          <t>SRC018</t>
        </is>
      </c>
      <c r="B19" s="4" t="inlineStr">
        <is>
          <t>Langfuse Access Control (RBAC)</t>
        </is>
      </c>
      <c r="C19" s="4" t="inlineStr">
        <is>
          <t>https://langfuse.com/docs/administration/rbac</t>
        </is>
      </c>
      <c r="D19" s="4" t="inlineStr">
        <is>
          <t>Official Langfuse RBAC roles and organization/project access evidence.</t>
        </is>
      </c>
      <c r="E19" s="4" t="inlineStr">
        <is>
          <t>2026-06-16T12:43:05Z</t>
        </is>
      </c>
    </row>
    <row r="20">
      <c r="A20" s="4" t="inlineStr">
        <is>
          <t>SRC019</t>
        </is>
      </c>
      <c r="B20" s="4" t="inlineStr">
        <is>
          <t>Langfuse Data Retention</t>
        </is>
      </c>
      <c r="C20" s="4" t="inlineStr">
        <is>
          <t>https://langfuse.com/docs/administration/data-retention</t>
        </is>
      </c>
      <c r="D20" s="4" t="inlineStr">
        <is>
          <t>Official Langfuse retention evidence, including self-hosted object-delete requirements.</t>
        </is>
      </c>
      <c r="E20" s="4" t="inlineStr">
        <is>
          <t>2026-06-16T12:43:05Z</t>
        </is>
      </c>
    </row>
    <row r="21">
      <c r="A21" s="4" t="inlineStr">
        <is>
          <t>SRC020</t>
        </is>
      </c>
      <c r="B21" s="4" t="inlineStr">
        <is>
          <t>Phoenix Authentication</t>
        </is>
      </c>
      <c r="C21" s="4" t="inlineStr">
        <is>
          <t>https://arize.com/docs/phoenix/self-hosting/features/authentication</t>
        </is>
      </c>
      <c r="D21" s="4" t="inlineStr">
        <is>
          <t>Official Phoenix self-hosted user-management and role evidence.</t>
        </is>
      </c>
      <c r="E21" s="4" t="inlineStr">
        <is>
          <t>2026-06-16T12:43:05Z</t>
        </is>
      </c>
    </row>
    <row r="22">
      <c r="A22" s="4" t="inlineStr">
        <is>
          <t>SRC021</t>
        </is>
      </c>
      <c r="B22" s="4" t="inlineStr">
        <is>
          <t>Phoenix Privacy</t>
        </is>
      </c>
      <c r="C22" s="4" t="inlineStr">
        <is>
          <t>https://arize.com/docs/phoenix/self-hosting/security/privacy</t>
        </is>
      </c>
      <c r="D22" s="4" t="inlineStr">
        <is>
          <t>Official Phoenix self-hosted privacy and data-control evidence.</t>
        </is>
      </c>
      <c r="E22" s="4" t="inlineStr">
        <is>
          <t>2026-06-16T12:43:05Z</t>
        </is>
      </c>
    </row>
    <row r="23">
      <c r="A23" s="4" t="inlineStr">
        <is>
          <t>SRC022</t>
        </is>
      </c>
      <c r="B23" s="4" t="inlineStr">
        <is>
          <t>Set up a self-managed W&amp;B Weave instance</t>
        </is>
      </c>
      <c r="C23" s="4" t="inlineStr">
        <is>
          <t>https://docs.wandb.ai/weave/guides/platform/weave-self-managed</t>
        </is>
      </c>
      <c r="D23" s="4" t="inlineStr">
        <is>
          <t>Official W&amp;B Weave self-managed deployment requirements and enterprise license dependency.</t>
        </is>
      </c>
      <c r="E23" s="4" t="inlineStr">
        <is>
          <t>2026-06-16T12:43:05Z</t>
        </is>
      </c>
    </row>
    <row r="24">
      <c r="A24" s="4" t="inlineStr">
        <is>
          <t>SRC023</t>
        </is>
      </c>
      <c r="B24" s="4" t="inlineStr">
        <is>
          <t>Evidently Open-source vs. Cloud</t>
        </is>
      </c>
      <c r="C24" s="4" t="inlineStr">
        <is>
          <t>https://docs.evidentlyai.com/faq/oss_vs_cloud</t>
        </is>
      </c>
      <c r="D24" s="4" t="inlineStr">
        <is>
          <t>Official Evidently OSS, platform, commercial/enterprise, and RBAC feature evidence; also contains a SaaS availability ambiguity to carry forward.</t>
        </is>
      </c>
      <c r="E24" s="4" t="inlineStr">
        <is>
          <t>2026-06-16T12:43:05Z</t>
        </is>
      </c>
    </row>
    <row r="25">
      <c r="A25" s="4" t="inlineStr">
        <is>
          <t>SRC024</t>
        </is>
      </c>
      <c r="B25" s="4" t="inlineStr">
        <is>
          <t>DeepEval Enterprise</t>
        </is>
      </c>
      <c r="C25" s="4" t="inlineStr">
        <is>
          <t>https://deepeval.com/enterprise</t>
        </is>
      </c>
      <c r="D25" s="4" t="inlineStr">
        <is>
          <t>Official Confident AI platform evidence for cloud/self-hosted deployment, SSO/RBAC/audit logs, SOC 2, GDPR, and custom retention.</t>
        </is>
      </c>
      <c r="E25" s="4" t="inlineStr">
        <is>
          <t>2026-06-16T12:43:05Z</t>
        </is>
      </c>
    </row>
    <row r="26">
      <c r="A26" s="4" t="inlineStr">
        <is>
          <t>SRC025</t>
        </is>
      </c>
      <c r="B26" s="4" t="inlineStr">
        <is>
          <t>MLflow Self-Hosting Overview</t>
        </is>
      </c>
      <c r="C26" s="4" t="inlineStr">
        <is>
          <t>https://mlflow.org/docs/latest/self-hosting/</t>
        </is>
      </c>
      <c r="D26" s="4" t="inlineStr">
        <is>
          <t>Official MLflow open-source and self-hosting evidence.</t>
        </is>
      </c>
      <c r="E26" s="4" t="inlineStr">
        <is>
          <t>2026-06-16T12:43:05Z</t>
        </is>
      </c>
    </row>
    <row r="27">
      <c r="A27" s="4" t="inlineStr">
        <is>
          <t>SRC026</t>
        </is>
      </c>
      <c r="B27" s="4" t="inlineStr">
        <is>
          <t>MLflow Authentication with Username and Password</t>
        </is>
      </c>
      <c r="C27" s="4" t="inlineStr">
        <is>
          <t>https://mlflow.org/docs/latest/self-hosting/security/basic-http-auth/</t>
        </is>
      </c>
      <c r="D27" s="4" t="inlineStr">
        <is>
          <t>Official MLflow authentication and permissions evidence for self-hosted deployments.</t>
        </is>
      </c>
      <c r="E27" s="4" t="inlineStr">
        <is>
          <t>2026-06-16T12:43:05Z</t>
        </is>
      </c>
    </row>
    <row r="28">
      <c r="A28" s="4" t="inlineStr">
        <is>
          <t>SRC027</t>
        </is>
      </c>
      <c r="B28" s="4" t="inlineStr">
        <is>
          <t>Promptfoo Security Policy</t>
        </is>
      </c>
      <c r="C28" s="4" t="inlineStr">
        <is>
          <t>https://github.com/promptfoo/promptfoo/blob/main/SECURITY.md</t>
        </is>
      </c>
      <c r="D28" s="4" t="inlineStr">
        <is>
          <t>Official Promptfoo security model evidence: OSS runner is local and not a sandbox for untrusted eval content.</t>
        </is>
      </c>
      <c r="E28" s="4" t="inlineStr">
        <is>
          <t>2026-06-16T12:43:05Z</t>
        </is>
      </c>
    </row>
    <row r="29">
      <c r="A29" s="4" t="inlineStr">
        <is>
          <t>SRC028</t>
        </is>
      </c>
      <c r="B29" s="4" t="inlineStr">
        <is>
          <t>Giskard AI Red Teaming and LLM Security Platform</t>
        </is>
      </c>
      <c r="C29" s="4" t="inlineStr">
        <is>
          <t>https://www.giskard.ai/</t>
        </is>
      </c>
      <c r="D29" s="4" t="inlineStr">
        <is>
          <t>Official Giskard Hub enterprise controls evidence: data residency, RBAC, audit trails, identity-provider integration, compliance, and on-premise availability.</t>
        </is>
      </c>
      <c r="E29" s="4" t="inlineStr">
        <is>
          <t>2026-06-16T12:43:05Z</t>
        </is>
      </c>
    </row>
    <row r="30">
      <c r="A30" s="4" t="inlineStr">
        <is>
          <t>SRC029</t>
        </is>
      </c>
      <c r="B30" s="4" t="inlineStr">
        <is>
          <t>Evidently Cloud v2 - Documentation</t>
        </is>
      </c>
      <c r="C30" s="4" t="inlineStr">
        <is>
          <t>https://docs.evidentlyai.com/faq/cloud_v2</t>
        </is>
      </c>
      <c r="D30" s="4" t="inlineStr">
        <is>
          <t>Official FAQ says Evidently Cloud v2 launched in April 2025 and that new users are automatically enrolled, which conflicts with other current docs saying Evidently Cloud is no longer available as SaaS.</t>
        </is>
      </c>
      <c r="E30" s="4" t="inlineStr">
        <is>
          <t>2026-06-16T12:51:28Z</t>
        </is>
      </c>
    </row>
    <row r="31">
      <c r="A31" s="4" t="inlineStr">
        <is>
          <t>SRC030</t>
        </is>
      </c>
      <c r="B31" s="4" t="inlineStr">
        <is>
          <t>Self-hosting - Evidently Documentation</t>
        </is>
      </c>
      <c r="C31" s="4" t="inlineStr">
        <is>
          <t>https://docs.evidentlyai.com/docs/setup/self-hosting</t>
        </is>
      </c>
      <c r="D31" s="4" t="inlineStr">
        <is>
          <t>Official setup page repeats that Evidently Cloud is no longer available as SaaS and describes self-hosted platform/UI options.</t>
        </is>
      </c>
      <c r="E31" s="4" t="inlineStr">
        <is>
          <t>2026-06-16T12:51:28Z</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52" customWidth="1" min="3" max="3"/>
  </cols>
  <sheetData>
    <row r="1">
      <c r="A1" s="3" t="inlineStr">
        <is>
          <t>Topic</t>
        </is>
      </c>
      <c r="B1" s="3" t="inlineStr">
        <is>
          <t>Caveat</t>
        </is>
      </c>
      <c r="C1" s="3" t="inlineStr">
        <is>
          <t>Decision impact</t>
        </is>
      </c>
    </row>
    <row r="2">
      <c r="A2" s="4" t="inlineStr">
        <is>
          <t>Evidently managed SaaS</t>
        </is>
      </c>
      <c r="B2" s="4" t="inlineStr">
        <is>
          <t>Current official docs conflict: some pages say Cloud is no longer available as SaaS, while Cloud v2 docs describe SaaS onboarding. Treat as vendor-confirmation required.</t>
        </is>
      </c>
      <c r="C2" s="4" t="inlineStr">
        <is>
          <t>Blocking for teams that require managed SaaS.</t>
        </is>
      </c>
    </row>
    <row r="3">
      <c r="A3" s="4" t="inlineStr">
        <is>
          <t>OpenAI Evals</t>
        </is>
      </c>
      <c r="B3" s="4" t="inlineStr">
        <is>
          <t>Official OpenAI docs mark the Evals platform as deprecated, with read-only status on 2026-10-31 and shutdown on 2026-11-30.</t>
        </is>
      </c>
      <c r="C3" s="4" t="inlineStr">
        <is>
          <t>Do not select as a long-term primary stack.</t>
        </is>
      </c>
    </row>
    <row r="4">
      <c r="A4" s="4" t="inlineStr">
        <is>
          <t>Framework-native rows</t>
        </is>
      </c>
      <c r="B4" s="4" t="inlineStr">
        <is>
          <t>LlamaIndex and Haystack evaluators are valuable when the app already uses those frameworks, but they are not standalone observability/governance platforms.</t>
        </is>
      </c>
      <c r="C4" s="4" t="inlineStr">
        <is>
          <t>Use as framework support, not a default cross-stack choice.</t>
        </is>
      </c>
    </row>
    <row r="5">
      <c r="A5" s="4" t="inlineStr">
        <is>
          <t>Commercial governance claims</t>
        </is>
      </c>
      <c r="B5" s="4" t="inlineStr">
        <is>
          <t>Some enterprise controls are documented on vendor pages rather than deep implementation docs.</t>
        </is>
      </c>
      <c r="C5" s="4" t="inlineStr">
        <is>
          <t>Use evidence confidence and procurement/security review before adoption.</t>
        </is>
      </c>
    </row>
    <row r="6">
      <c r="A6" s="4" t="inlineStr">
        <is>
          <t>Promptfoo execution model</t>
        </is>
      </c>
      <c r="B6" s="4" t="inlineStr">
        <is>
          <t>Promptfoo OSS is a local eval runner, not a sandbox for untrusted configs or code-executing eval fields.</t>
        </is>
      </c>
      <c r="C6" s="4" t="inlineStr">
        <is>
          <t>Run untrusted eval packs in isolated CI/runtime environments.</t>
        </is>
      </c>
    </row>
    <row r="7">
      <c r="A7" s="4" t="inlineStr">
        <is>
          <t>Scores are fit scores, not benchmark results</t>
        </is>
      </c>
      <c r="B7" s="4" t="inlineStr">
        <is>
          <t>The matrix scores publicly documented capabilities and production fit; it does not benchmark model quality or runtime performance.</t>
        </is>
      </c>
      <c r="C7" s="4" t="inlineStr">
        <is>
          <t>Run a project-specific proof of concept before final tool selection.</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2" customWidth="1" min="2" max="2"/>
  </cols>
  <sheetData>
    <row r="1">
      <c r="A1" s="3" t="inlineStr">
        <is>
          <t>Item</t>
        </is>
      </c>
      <c r="B1" s="3" t="inlineStr">
        <is>
          <t>Description</t>
        </is>
      </c>
    </row>
    <row r="2">
      <c r="A2" s="4" t="inlineStr">
        <is>
          <t>Purpose</t>
        </is>
      </c>
      <c r="B2" s="4" t="inlineStr">
        <is>
          <t>Help an engineering team shortlist RAG/LLM application evaluation tooling for a production RAG project.</t>
        </is>
      </c>
    </row>
    <row r="3">
      <c r="A3" s="4" t="inlineStr">
        <is>
          <t>Source policy</t>
        </is>
      </c>
      <c r="B3" s="4" t="inlineStr">
        <is>
          <t>Official documentation, GitHub repositories, release/vendor documentation, and public vendor docs were preferred over blog summaries.</t>
        </is>
      </c>
    </row>
    <row r="4">
      <c r="A4" s="4" t="inlineStr">
        <is>
          <t>Safety policy</t>
        </is>
      </c>
      <c r="B4" s="4" t="inlineStr">
        <is>
          <t>The package contains only public-source evidence and does not include personal/contact data, credentials, or local environment identifiers.</t>
        </is>
      </c>
    </row>
    <row r="5">
      <c r="A5" s="4" t="inlineStr">
        <is>
          <t>Evaluation Fit Score</t>
        </is>
      </c>
      <c r="B5" s="4" t="inlineStr">
        <is>
          <t>Weighted 0-100 score over RAG metrics, CI/regression, datasets/testsets, tracing/feedback, integration fit, and evidence maturity.</t>
        </is>
      </c>
    </row>
    <row r="6">
      <c r="A6" s="4" t="inlineStr">
        <is>
          <t>Operational Fit Score</t>
        </is>
      </c>
      <c r="B6" s="4" t="inlineStr">
        <is>
          <t>Weighted 0-100 score over deployment/data-control posture, governance controls, and evidence maturity.</t>
        </is>
      </c>
    </row>
    <row r="7">
      <c r="A7" s="4" t="inlineStr">
        <is>
          <t>Recommendation Tier</t>
        </is>
      </c>
      <c r="B7" s="4" t="inlineStr">
        <is>
          <t>Formula-derived tier from the overall score, with deprecated/legacy tools explicitly capped as Avoid/legacy.</t>
        </is>
      </c>
    </row>
    <row r="8">
      <c r="A8" s="4" t="inlineStr">
        <is>
          <t>Important limitation</t>
        </is>
      </c>
      <c r="B8" s="4" t="inlineStr">
        <is>
          <t>Scores are decision-support fit scores based on public evidence. They are not benchmark results and should be validated with a project-specific proof of concept.</t>
        </is>
      </c>
    </row>
    <row r="9">
      <c r="A9" s="4" t="inlineStr">
        <is>
          <t>Generated on</t>
        </is>
      </c>
      <c r="B9" s="4" t="inlineStr">
        <is>
          <t>2026-06-16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2026-06-16T13:41:51Z</dcterms:created>
  <dcterms:modified xsi:type="dcterms:W3CDTF">2026-06-16T13:41:51Z</dcterms:modified>
</cp:coreProperties>
</file>